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<sst xmlns="http://schemas.openxmlformats.org/spreadsheetml/2006/main" count="25" uniqueCount="19">
  <si>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 xml:space="preserve">应用名称 </t>
  </si>
  <si>
    <t>GPU卡需求</t>
  </si>
  <si>
    <t>整体占比</t>
  </si>
  <si>
    <t>卡</t>
  </si>
  <si>
    <t>云专线</t>
  </si>
  <si>
    <t>云硬盘</t>
  </si>
  <si>
    <t>CPU裸金属</t>
  </si>
  <si>
    <t>文件存储</t>
  </si>
  <si>
    <t>预算金额（万元，不含税）</t>
  </si>
  <si>
    <t>备注</t>
  </si>
  <si>
    <t>灵犀智能助理</t>
  </si>
  <si>
    <t>客服大模型</t>
  </si>
  <si>
    <t>低性能卡均为客服大模型需求</t>
  </si>
  <si>
    <t>灵运平台</t>
  </si>
  <si>
    <t>云客服</t>
  </si>
  <si>
    <t>预算总金额（万元）</t>
  </si>
  <si>
    <t>资源类型</t>
  </si>
  <si>
    <t>GPU裸金属（高性能卡）</t>
  </si>
  <si>
    <t>GPU裸金属（低性能卡）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</si>
</sst>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4"/>
      <color theme="1"/>
      <name val="华文仿宋"/>
      <charset val="134"/>
    </font>
    <font>
      <sz val="14"/>
      <color theme="1"/>
      <name val="华文仿宋"/>
      <charset val="134"/>
    </font>
    <font>
      <sz val="12"/>
      <color rgb="FF000000"/>
      <name val="Times New Roman"/>
      <charset val="134"/>
    </font>
    <font>
      <b/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justify" vertical="center"/>
    </xf>
    <xf numFmtId="0" fontId="1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4"/>
  <sheetViews>
    <sheetView tabSelected="1" zoomScale="115" zoomScaleNormal="115" workbookViewId="0">
      <selection activeCell="A2" sqref="A2:B5"/>
    </sheetView>
  </sheetViews>
  <sheetFormatPr defaultColWidth="9" defaultRowHeight="14.5"/>
  <cols>
    <col min="1" max="1" width="29.6272727272727" customWidth="1"/>
    <col min="2" max="2" width="34" customWidth="1"/>
    <col min="3" max="3" width="12.6272727272727"/>
    <col min="4" max="6" width="11.2545454545455" customWidth="1"/>
    <col min="7" max="7" width="14.5" customWidth="1"/>
    <col min="8" max="8" width="12.2" customWidth="1"/>
    <col min="9" max="9" width="17.6454545454545" customWidth="1"/>
    <col min="10" max="10" width="34.7545454545455" customWidth="1"/>
  </cols>
  <sheetData>
    <row r="1" ht="39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8</v>
      </c>
      <c r="J1" s="12" t="s">
        <v>9</v>
      </c>
    </row>
    <row r="2" ht="19.5" spans="1:10">
      <c r="A2" s="2" t="s">
        <v>10</v>
      </c>
      <c r="B2" s="2">
        <v>442</v>
      </c>
      <c r="C2" s="3">
        <f>B2/2105</f>
        <v>0.209976247030879</v>
      </c>
      <c r="D2" s="4">
        <f>B10*C2</f>
        <v>1101.70757244656</v>
      </c>
      <c r="E2" s="4">
        <f>B12*C2</f>
        <v>52.4982612826603</v>
      </c>
      <c r="F2" s="4">
        <f>B13*C2</f>
        <v>1.19056532066508</v>
      </c>
      <c r="G2" s="4">
        <f>B8*C2</f>
        <v>11.8447600950119</v>
      </c>
      <c r="H2" s="4">
        <f>B9*C2</f>
        <v>4.21842280285036</v>
      </c>
      <c r="I2" s="4">
        <f>SUM(D2:H2)</f>
        <v>1171.45958194774</v>
      </c>
      <c r="J2" s="4"/>
    </row>
    <row r="3" ht="19.5" spans="1:10">
      <c r="A3" s="5" t="s">
        <v>11</v>
      </c>
      <c r="B3" s="5">
        <v>1246</v>
      </c>
      <c r="C3" s="3">
        <f>B3/2105</f>
        <v>0.591923990498812</v>
      </c>
      <c r="D3" s="4">
        <f>B10*C3</f>
        <v>3105.71863182898</v>
      </c>
      <c r="E3" s="4">
        <f>B12*C3</f>
        <v>147.992836104513</v>
      </c>
      <c r="F3" s="4">
        <f>B13*C3</f>
        <v>3.35620902612827</v>
      </c>
      <c r="G3" s="4">
        <f>B8*C3</f>
        <v>33.390432304038</v>
      </c>
      <c r="H3" s="4">
        <f>B9*C3</f>
        <v>11.8917529691211</v>
      </c>
      <c r="I3" s="4">
        <f>SUM(D3:H3)+B11</f>
        <v>3355.43986223278</v>
      </c>
      <c r="J3" s="4" t="s">
        <v>12</v>
      </c>
    </row>
    <row r="4" ht="19.5" spans="1:10">
      <c r="A4" s="2" t="s">
        <v>13</v>
      </c>
      <c r="B4" s="2">
        <v>310</v>
      </c>
      <c r="C4" s="3">
        <f>B4/2105</f>
        <v>0.147268408551069</v>
      </c>
      <c r="D4" s="4">
        <f>B10*C4</f>
        <v>772.690831353919</v>
      </c>
      <c r="E4" s="4">
        <f>B12*C4</f>
        <v>36.8200475059382</v>
      </c>
      <c r="F4" s="4">
        <f>B13*C4</f>
        <v>0.835011876484561</v>
      </c>
      <c r="G4" s="4">
        <f>B8*C4</f>
        <v>8.3074109263658</v>
      </c>
      <c r="H4" s="4">
        <f>B9*C4</f>
        <v>2.95862232779097</v>
      </c>
      <c r="I4" s="4">
        <f>SUM(D4:H4)</f>
        <v>821.611923990499</v>
      </c>
      <c r="J4" s="4"/>
    </row>
    <row r="5" ht="19.5" spans="1:10">
      <c r="A5" s="2" t="s">
        <v>14</v>
      </c>
      <c r="B5" s="2">
        <v>107</v>
      </c>
      <c r="C5" s="3">
        <f>B5/2105</f>
        <v>0.0508313539192399</v>
      </c>
      <c r="D5" s="4">
        <f>B10*C5</f>
        <v>266.702964370546</v>
      </c>
      <c r="E5" s="4">
        <f>B12*C5</f>
        <v>12.7088551068884</v>
      </c>
      <c r="F5" s="4">
        <f>B13*C5</f>
        <v>0.28821377672209</v>
      </c>
      <c r="G5" s="4">
        <f>B8*C5</f>
        <v>2.86739667458432</v>
      </c>
      <c r="H5" s="4">
        <f>B9*C5</f>
        <v>1.02120190023753</v>
      </c>
      <c r="I5" s="4">
        <f>SUM(D5:H5)</f>
        <v>283.588631828979</v>
      </c>
      <c r="J5" s="4"/>
    </row>
    <row r="6" ht="31" customHeight="1" spans="1:10">
      <c r="A6" s="6" t="s">
        <v>15</v>
      </c>
      <c r="B6" s="6"/>
      <c r="C6" s="6"/>
      <c r="D6" s="6"/>
      <c r="E6" s="6"/>
      <c r="F6" s="6"/>
      <c r="G6" s="6"/>
      <c r="H6" s="6"/>
      <c r="I6" s="13">
        <f>SUM(I2:I5)</f>
        <v>5632.1</v>
      </c>
      <c r="J6" s="14"/>
    </row>
    <row r="7" ht="19.5" spans="1:2">
      <c r="A7" s="7" t="s">
        <v>16</v>
      </c>
      <c r="B7" s="7" t="s">
        <v>8</v>
      </c>
    </row>
    <row r="8" ht="19.5" spans="1:2">
      <c r="A8" s="8" t="s">
        <v>6</v>
      </c>
      <c r="B8" s="9">
        <v>56.41</v>
      </c>
    </row>
    <row r="9" ht="19.5" spans="1:9">
      <c r="A9" s="8" t="s">
        <v>7</v>
      </c>
      <c r="B9" s="9">
        <v>20.09</v>
      </c>
      <c r="I9" s="15"/>
    </row>
    <row r="10" ht="19.5" spans="1:9">
      <c r="A10" s="8" t="s">
        <v>17</v>
      </c>
      <c r="B10" s="9">
        <v>5246.82</v>
      </c>
      <c r="I10" s="15"/>
    </row>
    <row r="11" ht="19.5" spans="1:2">
      <c r="A11" s="8" t="s">
        <v>18</v>
      </c>
      <c r="B11" s="9">
        <v>53.09</v>
      </c>
    </row>
    <row r="12" ht="19.5" spans="1:2">
      <c r="A12" s="8" t="s">
        <v>4</v>
      </c>
      <c r="B12" s="9">
        <v>250.02</v>
      </c>
    </row>
    <row r="13" ht="19.5" spans="1:2">
      <c r="A13" s="8" t="s">
        <v>5</v>
      </c>
      <c r="B13" s="9">
        <v>5.67</v>
      </c>
    </row>
    <row r="14" ht="19.5" spans="1:2">
      <c r="A14" s="10" t="s">
        <v>15</v>
      </c>
      <c r="B14" s="11">
        <f>SUM(B8:B13)</f>
        <v>5632.1</v>
      </c>
    </row>
  </sheetData>
  <mergeCells count="1">
    <mergeCell ref="A6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在线服务公司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邹金柱</cp:lastModifiedBy>
  <dcterms:created xsi:type="dcterms:W3CDTF">2024-12-30T22:56:00Z</dcterms:created>
  <dcterms:modified xsi:type="dcterms:W3CDTF">2025-09-18T14:04:15Z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A83E5982EFC54412AA22A8E395C9EDA5_13</vt:lpwstr>
  </property>
  <property fmtid="{D5CDD505-2E9C-101B-9397-08002B2CF9AE}" pid="3" name="KSOProductBuildVer">
    <vt:lpwstr>2052-12.8.2.21176</vt:lpwstr>
  </property>
</Properties>
</file>